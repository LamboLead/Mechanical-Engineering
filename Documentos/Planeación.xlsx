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d\Documentos (local)\Ingeniería Mecánica\"/>
    </mc:Choice>
  </mc:AlternateContent>
  <xr:revisionPtr revIDLastSave="0" documentId="13_ncr:1_{FA0E6512-E579-4545-ABDE-721F2154977B}" xr6:coauthVersionLast="47" xr6:coauthVersionMax="47" xr10:uidLastSave="{00000000-0000-0000-0000-000000000000}"/>
  <bookViews>
    <workbookView xWindow="-120" yWindow="-120" windowWidth="29040" windowHeight="15720" tabRatio="372" activeTab="1" xr2:uid="{02E5BF31-9627-4804-8043-3CE4E342FA9C}"/>
  </bookViews>
  <sheets>
    <sheet name="Alternativas (2024-2)" sheetId="2" r:id="rId1"/>
    <sheet name="Materias" sheetId="3" r:id="rId2"/>
    <sheet name="Planeación" sheetId="1" r:id="rId3"/>
  </sheets>
  <definedNames>
    <definedName name="_xlnm._FilterDatabase" localSheetId="2" hidden="1">Materias!$C$6:$D$19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3" l="1"/>
  <c r="P8" i="3"/>
  <c r="H12" i="3"/>
  <c r="H13" i="3" s="1"/>
  <c r="L15" i="3" s="1"/>
  <c r="L16" i="3" s="1"/>
  <c r="D13" i="3"/>
  <c r="D14" i="3" s="1"/>
  <c r="J22" i="2"/>
  <c r="J26" i="2" s="1"/>
  <c r="J13" i="2"/>
  <c r="J17" i="2" s="1"/>
  <c r="J7" i="2"/>
  <c r="J29" i="1"/>
  <c r="J7" i="1"/>
  <c r="J20" i="1"/>
</calcChain>
</file>

<file path=xl/sharedStrings.xml><?xml version="1.0" encoding="utf-8"?>
<sst xmlns="http://schemas.openxmlformats.org/spreadsheetml/2006/main" count="207" uniqueCount="67">
  <si>
    <t>Lunes</t>
  </si>
  <si>
    <t>Martes</t>
  </si>
  <si>
    <t>Miércoles</t>
  </si>
  <si>
    <t>Jueves</t>
  </si>
  <si>
    <t>Viernes</t>
  </si>
  <si>
    <t>CAD/CAM</t>
  </si>
  <si>
    <t>Materias</t>
  </si>
  <si>
    <t>Electrotecnia</t>
  </si>
  <si>
    <t>Tipo</t>
  </si>
  <si>
    <t>Hora</t>
  </si>
  <si>
    <t>Metalmecánica</t>
  </si>
  <si>
    <t>Diseño Integrado</t>
  </si>
  <si>
    <t>Créditos</t>
  </si>
  <si>
    <t>2024-1</t>
  </si>
  <si>
    <t>2024-2</t>
  </si>
  <si>
    <t>Disciplinar Optativa</t>
  </si>
  <si>
    <t>Materias de interés</t>
  </si>
  <si>
    <t>#</t>
  </si>
  <si>
    <t>Total</t>
  </si>
  <si>
    <t>2025-1</t>
  </si>
  <si>
    <t>D. Obligatoria</t>
  </si>
  <si>
    <t>D. Optativa</t>
  </si>
  <si>
    <t>Libre Elección</t>
  </si>
  <si>
    <t>F. Optativa</t>
  </si>
  <si>
    <t>Seminario III</t>
  </si>
  <si>
    <t>Mecatrónico</t>
  </si>
  <si>
    <t>2024-1 (alternativa 2)</t>
  </si>
  <si>
    <t>2024-1 (alternativa 3)</t>
  </si>
  <si>
    <t>Displinar Obligatoria</t>
  </si>
  <si>
    <t>Fundamentación Obligatoria</t>
  </si>
  <si>
    <t>Faltantes</t>
  </si>
  <si>
    <t>Gestión de activos</t>
  </si>
  <si>
    <t>Gerencia de Mantenimiento</t>
  </si>
  <si>
    <t>Sábado</t>
  </si>
  <si>
    <t>Métodos numéricos</t>
  </si>
  <si>
    <t>2024-2 (alternativa 1)</t>
  </si>
  <si>
    <t>Fund. de diseño</t>
  </si>
  <si>
    <t>Selección de Materiales</t>
  </si>
  <si>
    <t>Otras</t>
  </si>
  <si>
    <t>PAE</t>
  </si>
  <si>
    <t>Mecanismos [3]</t>
  </si>
  <si>
    <t>Procesos y Metalurgia de la Soldadura [3]</t>
  </si>
  <si>
    <t>PAE (Diseño conceptual)</t>
  </si>
  <si>
    <t>PAE (Diseño de detalle)</t>
  </si>
  <si>
    <t>Diseño integrado [4]</t>
  </si>
  <si>
    <t>Materiales de Ingeniería [3]</t>
  </si>
  <si>
    <t>Procesos de Manufactura en Metalmecánica [3]</t>
  </si>
  <si>
    <t>CAD/CAM [3]</t>
  </si>
  <si>
    <t>Gestión Integral de Activos [3]</t>
  </si>
  <si>
    <t>Diseño mecatrónico [4]</t>
  </si>
  <si>
    <t>Gerencia de Mantenimiento (3008309) [4]</t>
  </si>
  <si>
    <t>Métodos numéricos [4]</t>
  </si>
  <si>
    <t>Lubricación I</t>
  </si>
  <si>
    <t>Fundamentos de Automatización [3]</t>
  </si>
  <si>
    <t>X</t>
  </si>
  <si>
    <t>P</t>
  </si>
  <si>
    <t>A</t>
  </si>
  <si>
    <t>Tratamientos térmicos</t>
  </si>
  <si>
    <t>Fund. de tribología</t>
  </si>
  <si>
    <t>Materias de especialización</t>
  </si>
  <si>
    <t>Fundamentos de Tribología [4]</t>
  </si>
  <si>
    <t>Tratamientos térmicos [3]</t>
  </si>
  <si>
    <t>Confiabilidad y análisis de riesgo (3009769) [4]</t>
  </si>
  <si>
    <t>Técnicas de lubricación orientadas a la conservación de confiabidad (3009808) [4]</t>
  </si>
  <si>
    <t>Gestión de información e indicadores de mantenimiento (3009783) [4]</t>
  </si>
  <si>
    <t>Seminario de Proyectos III (3007846-1) [4]</t>
  </si>
  <si>
    <t>Fundamentos de diseño (3010654-1) [3]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</si>
</sst>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wrapText="1"/>
    </xf>
    <xf numFmtId="0" fontId="0" fillId="2" borderId="0" xfId="0" applyFill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wrapText="1"/>
    </xf>
    <xf numFmtId="0" fontId="0" fillId="4" borderId="0" xfId="0" applyFill="1"/>
    <xf numFmtId="0" fontId="0" fillId="2" borderId="0" xfId="0" applyFill="1" applyAlignment="1">
      <alignment horizontal="center"/>
    </xf>
    <xf numFmtId="0" fontId="0" fillId="2" borderId="0" xfId="0" applyFill="1"/>
    <xf numFmtId="0" fontId="0" fillId="5" borderId="0" xfId="0" applyFill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0" fillId="4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3" borderId="0" xfId="0" applyFill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5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5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1" fillId="4" borderId="0" xfId="0" applyFont="1" applyFill="1" applyAlignment="1">
      <alignment horizontal="left" vertical="center" wrapText="1"/>
    </xf>
    <xf numFmtId="0" fontId="1" fillId="5" borderId="0" xfId="0" applyFont="1" applyFill="1"/>
    <xf numFmtId="0" fontId="1" fillId="2" borderId="0" xfId="0" applyFont="1" applyFill="1"/>
    <xf numFmtId="0" fontId="1" fillId="3" borderId="0" xfId="0" applyFont="1" applyFill="1"/>
    <xf numFmtId="0" fontId="1" fillId="0" borderId="0" xfId="0" applyFont="1" applyAlignment="1">
      <alignment horizontal="center"/>
    </xf>
    <xf numFmtId="0" fontId="0" fillId="3" borderId="0" xfId="0" applyFill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5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F9822-3321-4CC3-A2F7-8FF12E4790C1}">
  <dimension ref="A1:J27"/>
  <sheetViews>
    <sheetView workbookViewId="0">
      <selection activeCell="D4" sqref="D4"/>
    </sheetView>
  </sheetViews>
  <sheetFormatPr baseColWidth="10" defaultRowHeight="15" x14ac:dyDescent="0.25"/>
  <cols>
    <col min="1" max="1" width="5.140625" bestFit="1" customWidth="1"/>
    <col min="2" max="2" width="14.5703125" customWidth="1"/>
    <col min="3" max="3" width="23.85546875" customWidth="1"/>
    <col min="4" max="4" width="21.85546875" customWidth="1"/>
    <col min="5" max="5" width="22.5703125" customWidth="1"/>
    <col min="6" max="7" width="16.28515625" customWidth="1"/>
    <col min="8" max="8" width="2.42578125" customWidth="1"/>
    <col min="9" max="9" width="15" customWidth="1"/>
    <col min="10" max="10" width="3" bestFit="1" customWidth="1"/>
  </cols>
  <sheetData>
    <row r="1" spans="1:10" x14ac:dyDescent="0.25">
      <c r="A1" s="42" t="s">
        <v>35</v>
      </c>
      <c r="B1" s="42"/>
      <c r="C1" s="42"/>
      <c r="D1" s="42"/>
      <c r="E1" s="42"/>
      <c r="F1" s="42"/>
      <c r="G1" s="24"/>
      <c r="I1" s="42" t="s">
        <v>12</v>
      </c>
      <c r="J1" s="42"/>
    </row>
    <row r="2" spans="1:10" x14ac:dyDescent="0.25">
      <c r="A2" s="7" t="s">
        <v>9</v>
      </c>
      <c r="B2" s="7" t="s">
        <v>0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33</v>
      </c>
      <c r="I2" s="7" t="s">
        <v>8</v>
      </c>
      <c r="J2" s="7" t="s">
        <v>17</v>
      </c>
    </row>
    <row r="3" spans="1:10" x14ac:dyDescent="0.25">
      <c r="A3" s="11">
        <v>6</v>
      </c>
      <c r="B3" s="36" t="s">
        <v>24</v>
      </c>
      <c r="C3" s="4"/>
      <c r="D3" s="4"/>
      <c r="E3" s="4"/>
      <c r="F3" s="4"/>
      <c r="G3" s="4"/>
      <c r="I3" s="21" t="s">
        <v>20</v>
      </c>
      <c r="J3" s="20">
        <v>8</v>
      </c>
    </row>
    <row r="4" spans="1:10" ht="15" customHeight="1" x14ac:dyDescent="0.25">
      <c r="A4" s="11">
        <v>8</v>
      </c>
      <c r="B4" s="21" t="s">
        <v>24</v>
      </c>
      <c r="C4" s="37" t="s">
        <v>58</v>
      </c>
      <c r="D4" s="36" t="s">
        <v>11</v>
      </c>
      <c r="E4" s="8" t="s">
        <v>58</v>
      </c>
      <c r="F4" s="21" t="s">
        <v>11</v>
      </c>
      <c r="G4" s="43" t="s">
        <v>59</v>
      </c>
      <c r="I4" s="8" t="s">
        <v>21</v>
      </c>
      <c r="J4" s="18">
        <v>7</v>
      </c>
    </row>
    <row r="5" spans="1:10" x14ac:dyDescent="0.25">
      <c r="A5" s="11">
        <v>10</v>
      </c>
      <c r="B5" s="4"/>
      <c r="C5" s="37" t="s">
        <v>57</v>
      </c>
      <c r="E5" s="8" t="s">
        <v>57</v>
      </c>
      <c r="G5" s="43"/>
      <c r="I5" s="9" t="s">
        <v>22</v>
      </c>
      <c r="J5" s="14">
        <v>12</v>
      </c>
    </row>
    <row r="6" spans="1:10" x14ac:dyDescent="0.25">
      <c r="A6" s="11">
        <v>12</v>
      </c>
      <c r="B6" s="4"/>
      <c r="C6" s="4"/>
      <c r="D6" s="4"/>
      <c r="E6" s="4"/>
      <c r="F6" s="4"/>
      <c r="G6" s="43"/>
      <c r="I6" s="10" t="s">
        <v>23</v>
      </c>
      <c r="J6" s="16">
        <v>4</v>
      </c>
    </row>
    <row r="7" spans="1:10" x14ac:dyDescent="0.25">
      <c r="A7" s="11">
        <v>14</v>
      </c>
      <c r="B7" s="4"/>
      <c r="C7" s="38" t="s">
        <v>34</v>
      </c>
      <c r="D7" s="4"/>
      <c r="E7" s="10" t="s">
        <v>34</v>
      </c>
      <c r="F7" s="43" t="s">
        <v>59</v>
      </c>
      <c r="G7" s="4"/>
      <c r="I7" s="12" t="s">
        <v>18</v>
      </c>
      <c r="J7" s="6">
        <f>SUM(J3:J6)</f>
        <v>31</v>
      </c>
    </row>
    <row r="8" spans="1:10" x14ac:dyDescent="0.25">
      <c r="A8" s="11">
        <v>16</v>
      </c>
      <c r="B8" s="4"/>
      <c r="C8" s="4"/>
      <c r="D8" s="4"/>
      <c r="E8" s="4"/>
      <c r="F8" s="43"/>
      <c r="G8" s="4"/>
    </row>
    <row r="9" spans="1:10" x14ac:dyDescent="0.25">
      <c r="A9" s="11">
        <v>18</v>
      </c>
      <c r="B9" s="4"/>
      <c r="C9" s="4"/>
      <c r="D9" s="4"/>
      <c r="E9" s="4"/>
      <c r="F9" s="43"/>
      <c r="G9" s="4"/>
    </row>
    <row r="11" spans="1:10" x14ac:dyDescent="0.25">
      <c r="A11" s="42" t="s">
        <v>26</v>
      </c>
      <c r="B11" s="42"/>
      <c r="C11" s="42"/>
      <c r="D11" s="42"/>
      <c r="E11" s="42"/>
      <c r="F11" s="42"/>
      <c r="G11" s="24"/>
      <c r="I11" s="42" t="s">
        <v>12</v>
      </c>
      <c r="J11" s="42"/>
    </row>
    <row r="12" spans="1:10" x14ac:dyDescent="0.25">
      <c r="A12" s="7" t="s">
        <v>9</v>
      </c>
      <c r="B12" s="7" t="s">
        <v>0</v>
      </c>
      <c r="C12" s="7" t="s">
        <v>1</v>
      </c>
      <c r="D12" s="7" t="s">
        <v>2</v>
      </c>
      <c r="E12" s="7" t="s">
        <v>3</v>
      </c>
      <c r="F12" s="7" t="s">
        <v>4</v>
      </c>
      <c r="G12" s="7"/>
      <c r="I12" s="7" t="s">
        <v>8</v>
      </c>
      <c r="J12" s="7" t="s">
        <v>17</v>
      </c>
    </row>
    <row r="13" spans="1:10" x14ac:dyDescent="0.25">
      <c r="A13" s="11">
        <v>6</v>
      </c>
      <c r="B13" s="8" t="s">
        <v>52</v>
      </c>
      <c r="C13" s="21" t="s">
        <v>36</v>
      </c>
      <c r="D13" s="4"/>
      <c r="E13" s="21" t="s">
        <v>36</v>
      </c>
      <c r="F13" s="4"/>
      <c r="G13" s="4"/>
      <c r="I13" s="21" t="s">
        <v>20</v>
      </c>
      <c r="J13" s="20">
        <f>3+4</f>
        <v>7</v>
      </c>
    </row>
    <row r="14" spans="1:10" x14ac:dyDescent="0.25">
      <c r="A14" s="11">
        <v>8</v>
      </c>
      <c r="B14" s="8" t="s">
        <v>52</v>
      </c>
      <c r="C14" s="4"/>
      <c r="D14" s="4"/>
      <c r="E14" s="4"/>
      <c r="F14" s="4"/>
      <c r="G14" s="43" t="s">
        <v>32</v>
      </c>
      <c r="I14" s="8" t="s">
        <v>21</v>
      </c>
      <c r="J14" s="18">
        <v>3</v>
      </c>
    </row>
    <row r="15" spans="1:10" x14ac:dyDescent="0.25">
      <c r="A15" s="11">
        <v>10</v>
      </c>
      <c r="B15" s="4"/>
      <c r="C15" s="4"/>
      <c r="D15" s="21" t="s">
        <v>11</v>
      </c>
      <c r="E15" s="4"/>
      <c r="F15" s="21" t="s">
        <v>11</v>
      </c>
      <c r="G15" s="43"/>
      <c r="I15" s="9" t="s">
        <v>22</v>
      </c>
      <c r="J15" s="14">
        <v>4</v>
      </c>
    </row>
    <row r="16" spans="1:10" x14ac:dyDescent="0.25">
      <c r="A16" s="11">
        <v>12</v>
      </c>
      <c r="B16" s="4"/>
      <c r="C16" s="4"/>
      <c r="D16" s="4"/>
      <c r="E16" s="4"/>
      <c r="F16" s="4"/>
      <c r="G16" s="43"/>
      <c r="I16" s="10" t="s">
        <v>23</v>
      </c>
      <c r="J16" s="16">
        <v>4</v>
      </c>
    </row>
    <row r="17" spans="1:10" x14ac:dyDescent="0.25">
      <c r="A17" s="11">
        <v>14</v>
      </c>
      <c r="B17" s="4"/>
      <c r="C17" s="10" t="s">
        <v>34</v>
      </c>
      <c r="D17" s="4"/>
      <c r="E17" s="10" t="s">
        <v>34</v>
      </c>
      <c r="F17" s="43" t="s">
        <v>32</v>
      </c>
      <c r="G17" s="4"/>
      <c r="I17" s="12" t="s">
        <v>18</v>
      </c>
      <c r="J17" s="6">
        <f>SUM(J13:J16)</f>
        <v>18</v>
      </c>
    </row>
    <row r="18" spans="1:10" x14ac:dyDescent="0.25">
      <c r="A18" s="11">
        <v>16</v>
      </c>
      <c r="B18" s="4"/>
      <c r="C18" s="4"/>
      <c r="D18" s="4"/>
      <c r="E18" s="4"/>
      <c r="F18" s="43"/>
      <c r="G18" s="4"/>
    </row>
    <row r="19" spans="1:10" x14ac:dyDescent="0.25">
      <c r="B19" s="4"/>
      <c r="C19" s="4"/>
      <c r="D19" s="4"/>
      <c r="E19" s="4"/>
      <c r="F19" s="43"/>
      <c r="G19" s="4"/>
    </row>
    <row r="20" spans="1:10" x14ac:dyDescent="0.25">
      <c r="A20" s="42" t="s">
        <v>27</v>
      </c>
      <c r="B20" s="42"/>
      <c r="C20" s="42"/>
      <c r="D20" s="42"/>
      <c r="E20" s="42"/>
      <c r="F20" s="42"/>
      <c r="G20" s="24"/>
      <c r="I20" s="42" t="s">
        <v>12</v>
      </c>
      <c r="J20" s="42"/>
    </row>
    <row r="21" spans="1:10" x14ac:dyDescent="0.25">
      <c r="A21" s="7" t="s">
        <v>9</v>
      </c>
      <c r="B21" s="7" t="s">
        <v>0</v>
      </c>
      <c r="C21" s="7" t="s">
        <v>1</v>
      </c>
      <c r="D21" s="7" t="s">
        <v>2</v>
      </c>
      <c r="E21" s="7" t="s">
        <v>3</v>
      </c>
      <c r="F21" s="7" t="s">
        <v>4</v>
      </c>
      <c r="G21" s="7"/>
      <c r="I21" s="7" t="s">
        <v>8</v>
      </c>
      <c r="J21" s="7" t="s">
        <v>17</v>
      </c>
    </row>
    <row r="22" spans="1:10" x14ac:dyDescent="0.25">
      <c r="A22" s="11">
        <v>6</v>
      </c>
      <c r="B22" s="4"/>
      <c r="C22" s="21" t="s">
        <v>10</v>
      </c>
      <c r="D22" s="8" t="s">
        <v>5</v>
      </c>
      <c r="E22" s="21" t="s">
        <v>10</v>
      </c>
      <c r="F22" s="8" t="s">
        <v>5</v>
      </c>
      <c r="G22" s="4"/>
      <c r="I22" s="21" t="s">
        <v>20</v>
      </c>
      <c r="J22" s="20">
        <f>3+4</f>
        <v>7</v>
      </c>
    </row>
    <row r="23" spans="1:10" x14ac:dyDescent="0.25">
      <c r="A23" s="11">
        <v>8</v>
      </c>
      <c r="B23" s="9" t="s">
        <v>25</v>
      </c>
      <c r="C23" s="9" t="s">
        <v>25</v>
      </c>
      <c r="D23" s="4"/>
      <c r="E23" s="9" t="s">
        <v>25</v>
      </c>
      <c r="F23" s="4"/>
      <c r="G23" s="4"/>
      <c r="I23" s="8" t="s">
        <v>21</v>
      </c>
      <c r="J23" s="18">
        <v>3</v>
      </c>
    </row>
    <row r="24" spans="1:10" x14ac:dyDescent="0.25">
      <c r="A24" s="11">
        <v>10</v>
      </c>
      <c r="B24" s="4"/>
      <c r="C24" s="4"/>
      <c r="D24" s="21" t="s">
        <v>11</v>
      </c>
      <c r="E24" s="4"/>
      <c r="F24" s="21" t="s">
        <v>11</v>
      </c>
      <c r="G24" s="4"/>
      <c r="I24" s="9" t="s">
        <v>22</v>
      </c>
      <c r="J24" s="14">
        <v>4</v>
      </c>
    </row>
    <row r="25" spans="1:10" x14ac:dyDescent="0.25">
      <c r="A25" s="11">
        <v>12</v>
      </c>
      <c r="B25" s="4"/>
      <c r="C25" s="4"/>
      <c r="D25" s="4"/>
      <c r="E25" s="4"/>
      <c r="F25" s="4"/>
      <c r="G25" s="4"/>
      <c r="I25" s="10" t="s">
        <v>23</v>
      </c>
      <c r="J25" s="16"/>
    </row>
    <row r="26" spans="1:10" x14ac:dyDescent="0.25">
      <c r="A26" s="11">
        <v>14</v>
      </c>
      <c r="B26" s="4"/>
      <c r="C26" s="4"/>
      <c r="D26" s="4"/>
      <c r="E26" s="4"/>
      <c r="F26" s="4"/>
      <c r="G26" s="4"/>
      <c r="I26" s="12" t="s">
        <v>18</v>
      </c>
      <c r="J26" s="6">
        <f>SUM(J22:J25)</f>
        <v>14</v>
      </c>
    </row>
    <row r="27" spans="1:10" x14ac:dyDescent="0.25">
      <c r="A27" s="11">
        <v>16</v>
      </c>
      <c r="B27" s="4"/>
      <c r="C27" s="4"/>
      <c r="D27" s="4"/>
      <c r="E27" s="4"/>
      <c r="F27" s="4"/>
      <c r="G27" s="4"/>
    </row>
  </sheetData>
  <mergeCells count="10">
    <mergeCell ref="A1:F1"/>
    <mergeCell ref="I1:J1"/>
    <mergeCell ref="A11:F11"/>
    <mergeCell ref="I11:J11"/>
    <mergeCell ref="A20:F20"/>
    <mergeCell ref="I20:J20"/>
    <mergeCell ref="G4:G6"/>
    <mergeCell ref="F7:F9"/>
    <mergeCell ref="G14:G16"/>
    <mergeCell ref="F17:F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F64DB-8BAB-4207-9CC6-C696B0919ADB}">
  <dimension ref="A4:P32"/>
  <sheetViews>
    <sheetView tabSelected="1" zoomScale="115" zoomScaleNormal="115" workbookViewId="0">
      <selection activeCell="O7" sqref="O7"/>
    </sheetView>
  </sheetViews>
  <sheetFormatPr baseColWidth="10" defaultRowHeight="15" x14ac:dyDescent="0.25"/>
  <cols>
    <col min="1" max="1" width="2.28515625" bestFit="1" customWidth="1"/>
    <col min="2" max="2" width="2.42578125" bestFit="1" customWidth="1"/>
    <col min="3" max="3" width="40.5703125" bestFit="1" customWidth="1"/>
    <col min="4" max="4" width="7.85546875" bestFit="1" customWidth="1"/>
    <col min="5" max="5" width="2.28515625" bestFit="1" customWidth="1"/>
    <col min="6" max="6" width="2.42578125" bestFit="1" customWidth="1"/>
    <col min="7" max="7" width="38.85546875" customWidth="1"/>
    <col min="8" max="8" width="7.85546875" bestFit="1" customWidth="1"/>
    <col min="9" max="9" width="2.28515625" bestFit="1" customWidth="1"/>
    <col min="10" max="10" width="2.42578125" bestFit="1" customWidth="1"/>
    <col min="11" max="11" width="69.140625" bestFit="1" customWidth="1"/>
    <col min="12" max="12" width="7.85546875" bestFit="1" customWidth="1"/>
    <col min="13" max="13" width="2.28515625" bestFit="1" customWidth="1"/>
    <col min="14" max="14" width="2.42578125" bestFit="1" customWidth="1"/>
    <col min="15" max="15" width="21.7109375" bestFit="1" customWidth="1"/>
    <col min="16" max="16" width="7.85546875" bestFit="1" customWidth="1"/>
  </cols>
  <sheetData>
    <row r="4" spans="1:16" x14ac:dyDescent="0.25">
      <c r="C4" s="42" t="s">
        <v>16</v>
      </c>
      <c r="D4" s="42"/>
    </row>
    <row r="5" spans="1:16" x14ac:dyDescent="0.25">
      <c r="A5" s="42" t="s">
        <v>28</v>
      </c>
      <c r="B5" s="42"/>
      <c r="C5" s="42"/>
      <c r="D5" s="42"/>
      <c r="E5" s="42" t="s">
        <v>15</v>
      </c>
      <c r="F5" s="42"/>
      <c r="G5" s="42"/>
      <c r="H5" s="42"/>
      <c r="I5" s="42" t="s">
        <v>22</v>
      </c>
      <c r="J5" s="42"/>
      <c r="K5" s="42"/>
      <c r="L5" s="42"/>
      <c r="M5" s="42" t="s">
        <v>29</v>
      </c>
      <c r="N5" s="42"/>
      <c r="O5" s="42"/>
      <c r="P5" s="42"/>
    </row>
    <row r="6" spans="1:16" x14ac:dyDescent="0.25">
      <c r="A6" s="22" t="s">
        <v>55</v>
      </c>
      <c r="B6" s="22" t="s">
        <v>56</v>
      </c>
      <c r="C6" s="6" t="s">
        <v>6</v>
      </c>
      <c r="D6" s="6" t="s">
        <v>12</v>
      </c>
      <c r="E6" s="22" t="s">
        <v>55</v>
      </c>
      <c r="F6" s="22" t="s">
        <v>56</v>
      </c>
      <c r="G6" s="6" t="s">
        <v>6</v>
      </c>
      <c r="H6" s="6" t="s">
        <v>12</v>
      </c>
      <c r="I6" s="22" t="s">
        <v>55</v>
      </c>
      <c r="J6" s="22" t="s">
        <v>56</v>
      </c>
      <c r="K6" s="6" t="s">
        <v>6</v>
      </c>
      <c r="L6" s="6" t="s">
        <v>12</v>
      </c>
      <c r="M6" s="22" t="s">
        <v>55</v>
      </c>
      <c r="N6" s="22" t="s">
        <v>56</v>
      </c>
      <c r="O6" s="6" t="s">
        <v>6</v>
      </c>
      <c r="P6" s="6" t="s">
        <v>12</v>
      </c>
    </row>
    <row r="7" spans="1:16" x14ac:dyDescent="0.25">
      <c r="A7" t="s">
        <v>54</v>
      </c>
      <c r="C7" s="39" t="s">
        <v>66</v>
      </c>
      <c r="D7" s="19">
        <v>3</v>
      </c>
      <c r="E7" t="s">
        <v>54</v>
      </c>
      <c r="F7" t="s">
        <v>54</v>
      </c>
      <c r="G7" s="18" t="s">
        <v>47</v>
      </c>
      <c r="H7" s="17">
        <v>3</v>
      </c>
      <c r="K7" s="14" t="s">
        <v>40</v>
      </c>
      <c r="L7" s="13"/>
      <c r="M7" s="22" t="s">
        <v>54</v>
      </c>
      <c r="N7" s="22"/>
      <c r="O7" s="52" t="s">
        <v>51</v>
      </c>
      <c r="P7" s="23">
        <v>4</v>
      </c>
    </row>
    <row r="8" spans="1:16" x14ac:dyDescent="0.25">
      <c r="A8" t="s">
        <v>54</v>
      </c>
      <c r="C8" s="20" t="s">
        <v>44</v>
      </c>
      <c r="D8" s="19">
        <v>4</v>
      </c>
      <c r="G8" s="8" t="s">
        <v>41</v>
      </c>
      <c r="H8" s="17"/>
      <c r="I8" t="s">
        <v>54</v>
      </c>
      <c r="J8" t="s">
        <v>54</v>
      </c>
      <c r="K8" s="14" t="s">
        <v>42</v>
      </c>
      <c r="L8" s="13">
        <v>4</v>
      </c>
      <c r="M8" s="45" t="s">
        <v>18</v>
      </c>
      <c r="N8" s="45"/>
      <c r="O8" s="45"/>
      <c r="P8" s="27">
        <f>SUM(P3:P7)</f>
        <v>4</v>
      </c>
    </row>
    <row r="9" spans="1:16" x14ac:dyDescent="0.25">
      <c r="A9" t="s">
        <v>54</v>
      </c>
      <c r="B9" t="s">
        <v>54</v>
      </c>
      <c r="C9" s="20" t="s">
        <v>45</v>
      </c>
      <c r="D9" s="19">
        <v>3</v>
      </c>
      <c r="E9" t="s">
        <v>54</v>
      </c>
      <c r="G9" s="37" t="s">
        <v>61</v>
      </c>
      <c r="H9" s="17">
        <v>3</v>
      </c>
      <c r="K9" s="15" t="s">
        <v>43</v>
      </c>
      <c r="L9" s="13"/>
      <c r="M9" s="45" t="s">
        <v>30</v>
      </c>
      <c r="N9" s="45"/>
      <c r="O9" s="45"/>
      <c r="P9" s="27">
        <f>4-P8</f>
        <v>0</v>
      </c>
    </row>
    <row r="10" spans="1:16" x14ac:dyDescent="0.25">
      <c r="A10" t="s">
        <v>54</v>
      </c>
      <c r="B10" t="s">
        <v>54</v>
      </c>
      <c r="C10" s="20" t="s">
        <v>46</v>
      </c>
      <c r="D10" s="19">
        <v>3</v>
      </c>
      <c r="E10" t="s">
        <v>54</v>
      </c>
      <c r="G10" s="40" t="s">
        <v>60</v>
      </c>
      <c r="H10" s="17">
        <v>4</v>
      </c>
      <c r="K10" s="14" t="s">
        <v>49</v>
      </c>
      <c r="L10" s="13"/>
    </row>
    <row r="11" spans="1:16" x14ac:dyDescent="0.25">
      <c r="A11" t="s">
        <v>54</v>
      </c>
      <c r="B11" t="s">
        <v>54</v>
      </c>
      <c r="C11" s="20" t="s">
        <v>53</v>
      </c>
      <c r="D11" s="19">
        <v>3</v>
      </c>
      <c r="E11" t="s">
        <v>54</v>
      </c>
      <c r="F11" t="s">
        <v>54</v>
      </c>
      <c r="G11" s="18" t="s">
        <v>48</v>
      </c>
      <c r="H11" s="17">
        <v>3</v>
      </c>
      <c r="I11" t="s">
        <v>54</v>
      </c>
      <c r="K11" s="41" t="s">
        <v>50</v>
      </c>
      <c r="L11" s="13">
        <v>4</v>
      </c>
    </row>
    <row r="12" spans="1:16" x14ac:dyDescent="0.25">
      <c r="A12" t="s">
        <v>54</v>
      </c>
      <c r="C12" s="39" t="s">
        <v>65</v>
      </c>
      <c r="D12" s="19">
        <v>4</v>
      </c>
      <c r="E12" s="47" t="s">
        <v>18</v>
      </c>
      <c r="F12" s="47"/>
      <c r="G12" s="47"/>
      <c r="H12" s="25">
        <f>SUM(H7:H11)</f>
        <v>13</v>
      </c>
      <c r="I12" t="s">
        <v>54</v>
      </c>
      <c r="K12" s="41" t="s">
        <v>62</v>
      </c>
      <c r="L12" s="13">
        <v>4</v>
      </c>
    </row>
    <row r="13" spans="1:16" x14ac:dyDescent="0.25">
      <c r="A13" s="46" t="s">
        <v>18</v>
      </c>
      <c r="B13" s="46"/>
      <c r="C13" s="46"/>
      <c r="D13" s="28">
        <f>SUM(D7:D12)</f>
        <v>20</v>
      </c>
      <c r="E13" s="47" t="s">
        <v>30</v>
      </c>
      <c r="F13" s="47"/>
      <c r="G13" s="47"/>
      <c r="H13" s="25">
        <f>5-H12</f>
        <v>-8</v>
      </c>
      <c r="I13" t="s">
        <v>54</v>
      </c>
      <c r="K13" s="41" t="s">
        <v>63</v>
      </c>
      <c r="L13" s="13">
        <v>4</v>
      </c>
    </row>
    <row r="14" spans="1:16" x14ac:dyDescent="0.25">
      <c r="A14" s="46" t="s">
        <v>30</v>
      </c>
      <c r="B14" s="46"/>
      <c r="C14" s="46"/>
      <c r="D14" s="28">
        <f>20-D13</f>
        <v>0</v>
      </c>
      <c r="K14" s="14" t="s">
        <v>64</v>
      </c>
      <c r="L14" s="13"/>
    </row>
    <row r="15" spans="1:16" x14ac:dyDescent="0.25">
      <c r="I15" s="44" t="s">
        <v>18</v>
      </c>
      <c r="J15" s="44"/>
      <c r="K15" s="44"/>
      <c r="L15" s="26">
        <f>(-1*H13)+SUM(L7:L14)</f>
        <v>24</v>
      </c>
    </row>
    <row r="16" spans="1:16" x14ac:dyDescent="0.25">
      <c r="I16" s="44" t="s">
        <v>30</v>
      </c>
      <c r="J16" s="44"/>
      <c r="K16" s="44"/>
      <c r="L16" s="26">
        <f>26-L15</f>
        <v>2</v>
      </c>
    </row>
    <row r="27" spans="3:4" x14ac:dyDescent="0.25">
      <c r="C27" s="6"/>
      <c r="D27" s="24"/>
    </row>
    <row r="28" spans="3:4" x14ac:dyDescent="0.25">
      <c r="D28" s="1"/>
    </row>
    <row r="29" spans="3:4" x14ac:dyDescent="0.25">
      <c r="D29" s="1"/>
    </row>
    <row r="30" spans="3:4" x14ac:dyDescent="0.25">
      <c r="D30" s="1"/>
    </row>
    <row r="31" spans="3:4" x14ac:dyDescent="0.25">
      <c r="D31" s="1"/>
    </row>
    <row r="32" spans="3:4" x14ac:dyDescent="0.25">
      <c r="C32" s="6"/>
      <c r="D32" s="24"/>
    </row>
  </sheetData>
  <mergeCells count="13">
    <mergeCell ref="M8:O8"/>
    <mergeCell ref="A14:C14"/>
    <mergeCell ref="E13:G13"/>
    <mergeCell ref="C4:D4"/>
    <mergeCell ref="A5:D5"/>
    <mergeCell ref="E5:H5"/>
    <mergeCell ref="I5:L5"/>
    <mergeCell ref="M5:P5"/>
    <mergeCell ref="I16:K16"/>
    <mergeCell ref="M9:O9"/>
    <mergeCell ref="A13:C13"/>
    <mergeCell ref="E12:G12"/>
    <mergeCell ref="I15:K1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C3766-F1D9-4EF9-9F4C-9A08CA6E2F1E}">
  <dimension ref="A1:J31"/>
  <sheetViews>
    <sheetView zoomScaleNormal="100" workbookViewId="0">
      <selection activeCell="C3" sqref="C3:C4"/>
    </sheetView>
  </sheetViews>
  <sheetFormatPr baseColWidth="10" defaultRowHeight="15" x14ac:dyDescent="0.25"/>
  <cols>
    <col min="1" max="1" width="5.140625" bestFit="1" customWidth="1"/>
    <col min="2" max="2" width="14.5703125" customWidth="1"/>
    <col min="3" max="3" width="23.85546875" customWidth="1"/>
    <col min="4" max="4" width="20.7109375" bestFit="1" customWidth="1"/>
    <col min="5" max="5" width="22.5703125" customWidth="1"/>
    <col min="6" max="6" width="20.7109375" bestFit="1" customWidth="1"/>
    <col min="7" max="7" width="20.5703125" customWidth="1"/>
    <col min="8" max="8" width="2" customWidth="1"/>
    <col min="9" max="9" width="13.140625" bestFit="1" customWidth="1"/>
    <col min="10" max="10" width="3" bestFit="1" customWidth="1"/>
    <col min="11" max="11" width="3.28515625" customWidth="1"/>
    <col min="12" max="13" width="5.85546875" customWidth="1"/>
    <col min="14" max="14" width="9.42578125" bestFit="1" customWidth="1"/>
    <col min="15" max="15" width="37.7109375" customWidth="1"/>
    <col min="16" max="16" width="23.5703125" customWidth="1"/>
    <col min="17" max="17" width="11.28515625" customWidth="1"/>
  </cols>
  <sheetData>
    <row r="1" spans="1:10" x14ac:dyDescent="0.25">
      <c r="A1" s="42" t="s">
        <v>13</v>
      </c>
      <c r="B1" s="42"/>
      <c r="C1" s="42"/>
      <c r="D1" s="42"/>
      <c r="E1" s="42"/>
      <c r="F1" s="42"/>
      <c r="G1" s="24"/>
      <c r="H1" s="1"/>
      <c r="I1" s="42" t="s">
        <v>12</v>
      </c>
      <c r="J1" s="42"/>
    </row>
    <row r="2" spans="1:10" x14ac:dyDescent="0.25">
      <c r="A2" s="7" t="s">
        <v>9</v>
      </c>
      <c r="B2" s="22" t="s">
        <v>0</v>
      </c>
      <c r="C2" s="22" t="s">
        <v>1</v>
      </c>
      <c r="D2" s="22" t="s">
        <v>2</v>
      </c>
      <c r="E2" s="22" t="s">
        <v>3</v>
      </c>
      <c r="F2" s="22" t="s">
        <v>4</v>
      </c>
      <c r="G2" s="22" t="s">
        <v>38</v>
      </c>
      <c r="H2" s="2"/>
      <c r="I2" s="7" t="s">
        <v>8</v>
      </c>
      <c r="J2" s="7" t="s">
        <v>17</v>
      </c>
    </row>
    <row r="3" spans="1:10" x14ac:dyDescent="0.25">
      <c r="A3" s="11">
        <v>6</v>
      </c>
      <c r="B3" s="32"/>
      <c r="C3" s="48" t="s">
        <v>10</v>
      </c>
      <c r="D3" s="51" t="s">
        <v>5</v>
      </c>
      <c r="E3" s="48" t="s">
        <v>10</v>
      </c>
      <c r="F3" s="51" t="s">
        <v>5</v>
      </c>
      <c r="G3" s="34" t="s">
        <v>39</v>
      </c>
      <c r="H3" s="4"/>
      <c r="I3" s="21" t="s">
        <v>20</v>
      </c>
      <c r="J3" s="20">
        <v>6</v>
      </c>
    </row>
    <row r="4" spans="1:10" ht="14.45" customHeight="1" x14ac:dyDescent="0.25">
      <c r="A4" s="11">
        <v>7</v>
      </c>
      <c r="B4" s="32"/>
      <c r="C4" s="48"/>
      <c r="D4" s="51"/>
      <c r="E4" s="48"/>
      <c r="F4" s="51"/>
      <c r="G4" s="30"/>
      <c r="H4" s="4"/>
      <c r="I4" s="8" t="s">
        <v>21</v>
      </c>
      <c r="J4" s="18">
        <v>6</v>
      </c>
    </row>
    <row r="5" spans="1:10" ht="15" customHeight="1" x14ac:dyDescent="0.25">
      <c r="A5" s="11">
        <v>8</v>
      </c>
      <c r="B5" s="34" t="s">
        <v>25</v>
      </c>
      <c r="C5" s="34" t="s">
        <v>25</v>
      </c>
      <c r="D5" s="33"/>
      <c r="E5" s="34" t="s">
        <v>25</v>
      </c>
      <c r="F5" s="33"/>
      <c r="G5" s="30"/>
      <c r="H5" s="4"/>
      <c r="I5" s="9" t="s">
        <v>22</v>
      </c>
      <c r="J5" s="14">
        <v>4</v>
      </c>
    </row>
    <row r="6" spans="1:10" x14ac:dyDescent="0.25">
      <c r="A6" s="11">
        <v>10</v>
      </c>
      <c r="B6" s="32"/>
      <c r="C6" s="32"/>
      <c r="D6" s="32"/>
      <c r="E6" s="32"/>
      <c r="F6" s="32"/>
      <c r="G6" s="30"/>
      <c r="H6" s="4"/>
      <c r="I6" s="10" t="s">
        <v>23</v>
      </c>
      <c r="J6" s="16">
        <v>0</v>
      </c>
    </row>
    <row r="7" spans="1:10" x14ac:dyDescent="0.25">
      <c r="A7" s="11">
        <v>12</v>
      </c>
      <c r="B7" s="32"/>
      <c r="C7" s="32"/>
      <c r="D7" s="32"/>
      <c r="E7" s="32"/>
      <c r="F7" s="32"/>
      <c r="G7" s="30"/>
      <c r="H7" s="4"/>
      <c r="I7" s="12" t="s">
        <v>18</v>
      </c>
      <c r="J7" s="6">
        <f>SUM(J3:J6)</f>
        <v>16</v>
      </c>
    </row>
    <row r="8" spans="1:10" ht="14.45" customHeight="1" x14ac:dyDescent="0.25">
      <c r="A8" s="11">
        <v>13</v>
      </c>
      <c r="B8" s="32"/>
      <c r="C8" s="32"/>
      <c r="D8" s="32"/>
      <c r="E8" s="32"/>
      <c r="F8" s="35"/>
      <c r="G8" s="30"/>
      <c r="H8" s="4"/>
      <c r="I8" s="4"/>
    </row>
    <row r="9" spans="1:10" ht="30" x14ac:dyDescent="0.25">
      <c r="A9" s="11">
        <v>14</v>
      </c>
      <c r="B9" s="51" t="s">
        <v>31</v>
      </c>
      <c r="C9" s="32"/>
      <c r="D9" s="31" t="s">
        <v>37</v>
      </c>
      <c r="E9" s="32"/>
      <c r="F9" s="31" t="s">
        <v>37</v>
      </c>
      <c r="G9" s="32"/>
      <c r="H9" s="4"/>
      <c r="I9" s="2"/>
    </row>
    <row r="10" spans="1:10" x14ac:dyDescent="0.25">
      <c r="A10" s="11">
        <v>16</v>
      </c>
      <c r="B10" s="51"/>
      <c r="C10" s="32"/>
      <c r="D10" s="32"/>
      <c r="E10" s="32"/>
      <c r="F10" s="35"/>
      <c r="G10" s="32"/>
      <c r="H10" s="4"/>
      <c r="I10" s="2"/>
    </row>
    <row r="11" spans="1:10" x14ac:dyDescent="0.25">
      <c r="A11" s="11">
        <v>18</v>
      </c>
      <c r="B11" s="51"/>
      <c r="C11" s="3"/>
      <c r="D11" s="3"/>
      <c r="E11" s="3"/>
      <c r="F11" s="35"/>
      <c r="G11" s="32"/>
      <c r="H11" s="2"/>
      <c r="I11" s="2"/>
    </row>
    <row r="12" spans="1:10" s="30" customFormat="1" x14ac:dyDescent="0.25">
      <c r="A12" s="11">
        <v>20</v>
      </c>
      <c r="B12" s="11"/>
      <c r="C12" s="11"/>
      <c r="D12" s="11"/>
      <c r="E12" s="11"/>
      <c r="F12" s="11"/>
      <c r="G12" s="11"/>
    </row>
    <row r="13" spans="1:10" x14ac:dyDescent="0.25">
      <c r="A13" s="30"/>
      <c r="B13" s="30"/>
      <c r="C13" s="30"/>
      <c r="D13" s="30"/>
      <c r="E13" s="30"/>
      <c r="F13" s="30"/>
      <c r="G13" s="30"/>
      <c r="H13" s="30"/>
      <c r="I13" s="30"/>
      <c r="J13" s="30"/>
    </row>
    <row r="14" spans="1:10" x14ac:dyDescent="0.25">
      <c r="A14" s="49" t="s">
        <v>14</v>
      </c>
      <c r="B14" s="49"/>
      <c r="C14" s="49"/>
      <c r="D14" s="49"/>
      <c r="E14" s="49"/>
      <c r="F14" s="49"/>
      <c r="G14" s="24"/>
      <c r="H14" s="3"/>
      <c r="I14" s="42" t="s">
        <v>12</v>
      </c>
      <c r="J14" s="42"/>
    </row>
    <row r="15" spans="1:10" ht="15.75" customHeight="1" x14ac:dyDescent="0.25">
      <c r="A15" s="7" t="s">
        <v>9</v>
      </c>
      <c r="B15" s="7" t="s">
        <v>0</v>
      </c>
      <c r="C15" s="7" t="s">
        <v>1</v>
      </c>
      <c r="D15" s="7" t="s">
        <v>2</v>
      </c>
      <c r="E15" s="7" t="s">
        <v>3</v>
      </c>
      <c r="F15" s="7" t="s">
        <v>4</v>
      </c>
      <c r="G15" s="7"/>
      <c r="H15" s="2"/>
      <c r="I15" s="7" t="s">
        <v>8</v>
      </c>
      <c r="J15" s="7" t="s">
        <v>17</v>
      </c>
    </row>
    <row r="16" spans="1:10" x14ac:dyDescent="0.25">
      <c r="A16" s="11">
        <v>6</v>
      </c>
      <c r="B16" s="4"/>
      <c r="C16" s="12"/>
      <c r="D16" s="4"/>
      <c r="E16" s="4"/>
      <c r="F16" s="4"/>
      <c r="G16" s="4"/>
      <c r="H16" s="4"/>
      <c r="I16" s="21" t="s">
        <v>20</v>
      </c>
      <c r="J16" s="20">
        <v>3</v>
      </c>
    </row>
    <row r="17" spans="1:10" x14ac:dyDescent="0.25">
      <c r="A17" s="11">
        <v>8</v>
      </c>
      <c r="B17" s="4"/>
      <c r="C17" s="4"/>
      <c r="D17" s="4"/>
      <c r="E17" s="4"/>
      <c r="F17" s="4"/>
      <c r="G17" s="4"/>
      <c r="H17" s="4"/>
      <c r="I17" s="8" t="s">
        <v>21</v>
      </c>
      <c r="J17" s="18">
        <v>3</v>
      </c>
    </row>
    <row r="18" spans="1:10" x14ac:dyDescent="0.25">
      <c r="A18" s="11">
        <v>10</v>
      </c>
      <c r="B18" s="4"/>
      <c r="C18" s="4"/>
      <c r="D18" s="4"/>
      <c r="E18" s="4"/>
      <c r="F18" s="4"/>
      <c r="G18" s="4"/>
      <c r="H18" s="4"/>
      <c r="I18" s="9" t="s">
        <v>22</v>
      </c>
      <c r="J18" s="14">
        <v>4</v>
      </c>
    </row>
    <row r="19" spans="1:10" x14ac:dyDescent="0.25">
      <c r="A19" s="11">
        <v>12</v>
      </c>
      <c r="B19" s="4"/>
      <c r="C19" s="4"/>
      <c r="D19" s="4"/>
      <c r="E19" s="4"/>
      <c r="F19" s="4"/>
      <c r="G19" s="4"/>
      <c r="H19" s="4"/>
      <c r="I19" s="10" t="s">
        <v>23</v>
      </c>
      <c r="J19" s="16"/>
    </row>
    <row r="20" spans="1:10" x14ac:dyDescent="0.25">
      <c r="A20" s="11">
        <v>14</v>
      </c>
      <c r="B20" s="4"/>
      <c r="C20" s="4"/>
      <c r="D20" s="4"/>
      <c r="E20" s="4"/>
      <c r="F20" s="4"/>
      <c r="G20" s="4"/>
      <c r="H20" s="4"/>
      <c r="I20" s="12" t="s">
        <v>18</v>
      </c>
      <c r="J20" s="6">
        <f>SUM(J16:J19)</f>
        <v>10</v>
      </c>
    </row>
    <row r="21" spans="1:10" x14ac:dyDescent="0.25">
      <c r="A21" s="11">
        <v>16</v>
      </c>
      <c r="B21" s="4"/>
      <c r="C21" s="4"/>
      <c r="D21" s="4"/>
      <c r="E21" s="4"/>
      <c r="F21" s="4"/>
      <c r="G21" s="4"/>
      <c r="H21" s="4"/>
      <c r="I21" s="4"/>
    </row>
    <row r="22" spans="1:10" x14ac:dyDescent="0.25">
      <c r="A22" s="50"/>
      <c r="B22" s="50"/>
      <c r="C22" s="50"/>
      <c r="D22" s="50"/>
      <c r="E22" s="50"/>
      <c r="F22" s="50"/>
      <c r="G22" s="3"/>
      <c r="H22" s="2"/>
      <c r="I22" s="2"/>
    </row>
    <row r="23" spans="1:10" x14ac:dyDescent="0.25">
      <c r="A23" s="42" t="s">
        <v>19</v>
      </c>
      <c r="B23" s="42"/>
      <c r="C23" s="42"/>
      <c r="D23" s="42"/>
      <c r="E23" s="42"/>
      <c r="F23" s="42"/>
      <c r="G23" s="24"/>
      <c r="H23" s="3"/>
      <c r="I23" s="42" t="s">
        <v>12</v>
      </c>
      <c r="J23" s="42"/>
    </row>
    <row r="24" spans="1:10" ht="16.5" customHeight="1" x14ac:dyDescent="0.25">
      <c r="A24" s="7" t="s">
        <v>9</v>
      </c>
      <c r="B24" s="7" t="s">
        <v>0</v>
      </c>
      <c r="C24" s="7" t="s">
        <v>1</v>
      </c>
      <c r="D24" s="7" t="s">
        <v>2</v>
      </c>
      <c r="E24" s="7" t="s">
        <v>3</v>
      </c>
      <c r="F24" s="7" t="s">
        <v>4</v>
      </c>
      <c r="G24" s="7"/>
      <c r="H24" s="2"/>
      <c r="I24" s="7" t="s">
        <v>8</v>
      </c>
      <c r="J24" s="7" t="s">
        <v>17</v>
      </c>
    </row>
    <row r="25" spans="1:10" x14ac:dyDescent="0.25">
      <c r="A25" s="11">
        <v>6</v>
      </c>
      <c r="B25" s="4"/>
      <c r="C25" s="4"/>
      <c r="D25" s="4"/>
      <c r="E25" s="4"/>
      <c r="F25" s="4"/>
      <c r="G25" s="4"/>
      <c r="H25" s="4"/>
      <c r="I25" s="21" t="s">
        <v>20</v>
      </c>
      <c r="J25" s="20">
        <v>4</v>
      </c>
    </row>
    <row r="26" spans="1:10" x14ac:dyDescent="0.25">
      <c r="A26" s="11">
        <v>8</v>
      </c>
      <c r="B26" s="48" t="s">
        <v>24</v>
      </c>
      <c r="C26" s="4"/>
      <c r="D26" s="4"/>
      <c r="E26" s="4"/>
      <c r="F26" s="4"/>
      <c r="G26" s="4"/>
      <c r="H26" s="4"/>
      <c r="I26" s="8" t="s">
        <v>21</v>
      </c>
      <c r="J26" s="18">
        <v>3</v>
      </c>
    </row>
    <row r="27" spans="1:10" x14ac:dyDescent="0.25">
      <c r="A27" s="11">
        <v>9</v>
      </c>
      <c r="B27" s="48"/>
      <c r="C27" s="4"/>
      <c r="D27" s="43" t="s">
        <v>7</v>
      </c>
      <c r="E27" s="4"/>
      <c r="F27" s="43" t="s">
        <v>7</v>
      </c>
      <c r="G27" s="29"/>
      <c r="H27" s="4"/>
      <c r="I27" s="9" t="s">
        <v>22</v>
      </c>
      <c r="J27" s="14">
        <v>4</v>
      </c>
    </row>
    <row r="28" spans="1:10" x14ac:dyDescent="0.25">
      <c r="A28" s="11">
        <v>10</v>
      </c>
      <c r="B28" s="48"/>
      <c r="C28" s="4"/>
      <c r="D28" s="43"/>
      <c r="E28" s="4"/>
      <c r="F28" s="43"/>
      <c r="G28" s="29"/>
      <c r="H28" s="4"/>
      <c r="I28" s="10" t="s">
        <v>23</v>
      </c>
      <c r="J28" s="16"/>
    </row>
    <row r="29" spans="1:10" x14ac:dyDescent="0.25">
      <c r="A29" s="11">
        <v>12</v>
      </c>
      <c r="B29" s="4"/>
      <c r="C29" s="4"/>
      <c r="D29" s="4"/>
      <c r="E29" s="4"/>
      <c r="F29" s="4"/>
      <c r="G29" s="4"/>
      <c r="H29" s="4"/>
      <c r="I29" s="12" t="s">
        <v>18</v>
      </c>
      <c r="J29" s="6">
        <f>SUM(J25:J28)</f>
        <v>11</v>
      </c>
    </row>
    <row r="30" spans="1:10" x14ac:dyDescent="0.25">
      <c r="A30" s="11">
        <v>14</v>
      </c>
      <c r="B30" s="4"/>
      <c r="C30" s="4"/>
      <c r="D30" s="4"/>
      <c r="E30" s="4"/>
      <c r="F30" s="4"/>
      <c r="G30" s="4"/>
      <c r="H30" s="5"/>
      <c r="I30" s="5"/>
    </row>
    <row r="31" spans="1:10" x14ac:dyDescent="0.25">
      <c r="A31" s="11">
        <v>16</v>
      </c>
      <c r="B31" s="4"/>
      <c r="C31" s="4"/>
      <c r="D31" s="4"/>
      <c r="E31" s="4"/>
      <c r="F31" s="4"/>
      <c r="G31" s="4"/>
    </row>
  </sheetData>
  <mergeCells count="15">
    <mergeCell ref="A1:F1"/>
    <mergeCell ref="A14:F14"/>
    <mergeCell ref="A22:F22"/>
    <mergeCell ref="I1:J1"/>
    <mergeCell ref="B9:B11"/>
    <mergeCell ref="C3:C4"/>
    <mergeCell ref="E3:E4"/>
    <mergeCell ref="D3:D4"/>
    <mergeCell ref="F3:F4"/>
    <mergeCell ref="B26:B28"/>
    <mergeCell ref="D27:D28"/>
    <mergeCell ref="F27:F28"/>
    <mergeCell ref="I23:J23"/>
    <mergeCell ref="I14:J14"/>
    <mergeCell ref="A23:F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Alternativas (2024-2)</vt:lpstr>
      <vt:lpstr>Materias</vt:lpstr>
      <vt:lpstr>Planeación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López López</dc:creator>
  <cp:lastModifiedBy>Juan David López López</cp:lastModifiedBy>
  <dcterms:created xsi:type="dcterms:W3CDTF">2024-01-23T23:23:12Z</dcterms:created>
  <dcterms:modified xsi:type="dcterms:W3CDTF">2024-10-26T04:35:53Z</dcterms:modified>
</cp:coreProperties>
</file>